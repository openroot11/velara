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tización" sheetId="1" state="visible" r:id="rId3"/>
    <sheet name="Ejemplo" sheetId="2" state="visible" r:id="rId4"/>
    <sheet name="Empresa" sheetId="3" state="visible" r:id="rId5"/>
  </sheets>
  <definedNames>
    <definedName function="false" hidden="false" localSheetId="0" name="_xlnm.Print_Area" vbProcedure="false">Cotización!$A$1:$F$46</definedName>
    <definedName function="false" hidden="false" localSheetId="1" name="_xlnm.Print_Area" vbProcedure="false">Ejemplo!$A$1:$F$46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<sst xmlns="http://schemas.openxmlformats.org/spreadsheetml/2006/main" count="111" uniqueCount="69">
  <si>
    <t xml:space="preserve">COTIZACIÓN</t>
  </si>
  <si>
    <t xml:space="preserve">N.º</t>
  </si>
  <si>
    <t xml:space="preserve">Fecha de emisión</t>
  </si>
  <si>
    <t xml:space="preserve">Válida hasta</t>
  </si>
  <si>
    <t xml:space="preserve">Asesor</t>
  </si>
  <si>
    <t xml:space="preserve">DATOS DEL CLIENTE</t>
  </si>
  <si>
    <t xml:space="preserve">VEHÍCULO O PROYECTO</t>
  </si>
  <si>
    <t xml:space="preserve">Nombre / razón social</t>
  </si>
  <si>
    <t xml:space="preserve">Marca / modelo / año</t>
  </si>
  <si>
    <t xml:space="preserve">NIT / C.C.</t>
  </si>
  <si>
    <t xml:space="preserve">Placa o referencia</t>
  </si>
  <si>
    <t xml:space="preserve">Teléfono</t>
  </si>
  <si>
    <t xml:space="preserve">Material y color</t>
  </si>
  <si>
    <t xml:space="preserve">Correo</t>
  </si>
  <si>
    <t xml:space="preserve">Asesor comercial</t>
  </si>
  <si>
    <t xml:space="preserve">Dirección</t>
  </si>
  <si>
    <t xml:space="preserve">Teléfono asesor</t>
  </si>
  <si>
    <t xml:space="preserve">Ciudad</t>
  </si>
  <si>
    <t xml:space="preserve">Correo asesor</t>
  </si>
  <si>
    <t xml:space="preserve">ÍTEM</t>
  </si>
  <si>
    <t xml:space="preserve">DESCRIPCIÓN</t>
  </si>
  <si>
    <t xml:space="preserve">CANT.</t>
  </si>
  <si>
    <t xml:space="preserve">VALOR UNITARIO</t>
  </si>
  <si>
    <t xml:space="preserve">VALOR TOTAL</t>
  </si>
  <si>
    <t xml:space="preserve">Subtotal</t>
  </si>
  <si>
    <t xml:space="preserve">Tarifa de IVA</t>
  </si>
  <si>
    <t xml:space="preserve">IVA</t>
  </si>
  <si>
    <t xml:space="preserve">TOTAL</t>
  </si>
  <si>
    <t xml:space="preserve">CONDICIONES COMERCIALES</t>
  </si>
  <si>
    <t xml:space="preserve">•  Los precios incluyen materiales, mano de obra e instalación.</t>
  </si>
  <si>
    <t xml:space="preserve">•  Tiempo estimado de entrega: ____ días hábiles a partir del anticipo.</t>
  </si>
  <si>
    <t xml:space="preserve">•  Para iniciar la producción se requiere un anticipo del 50 % del valor total.</t>
  </si>
  <si>
    <t xml:space="preserve">•  El 50 % restante se cancela contra entrega.</t>
  </si>
  <si>
    <t xml:space="preserve">•  Esta cotización es válida por 15 días calendario.</t>
  </si>
  <si>
    <t xml:space="preserve">•  Cualquier cambio en el diseño o los materiales puede modificar el precio.</t>
  </si>
  <si>
    <t xml:space="preserve">Gracias por confiar en VELARA. Soluciones a medida para su vehículo, su negocio y sus proyectos.</t>
  </si>
  <si>
    <t xml:space="preserve">Cómo usar: diligencie las celdas con fondo crema. Valor total, subtotal, IVA, total y "válida hasta" se calculan solos. La tarifa de IVA está en D33 (19 %, tarifa general en Colombia). Los datos del encabezado se editan en la hoja "Empresa".</t>
  </si>
  <si>
    <t xml:space="preserve">000125</t>
  </si>
  <si>
    <t xml:space="preserve">Diego Franco (ejemplo)</t>
  </si>
  <si>
    <t xml:space="preserve">Carlos Gómez (ejemplo)</t>
  </si>
  <si>
    <t xml:space="preserve">Mazda 3 2019</t>
  </si>
  <si>
    <t xml:space="preserve">1.140.000.000</t>
  </si>
  <si>
    <t xml:space="preserve">ABC 123</t>
  </si>
  <si>
    <t xml:space="preserve">300 000 0000</t>
  </si>
  <si>
    <t xml:space="preserve">Cuero sintético negro, costura roja</t>
  </si>
  <si>
    <t xml:space="preserve">cliente@ejemplo.com</t>
  </si>
  <si>
    <t xml:space="preserve">Diego Franco</t>
  </si>
  <si>
    <t xml:space="preserve">Calle 72 # 45 - 20</t>
  </si>
  <si>
    <t xml:space="preserve">Barranquilla</t>
  </si>
  <si>
    <t xml:space="preserve">asesor@ejemplo.com</t>
  </si>
  <si>
    <t xml:space="preserve">Tapizado de asientos delanteros</t>
  </si>
  <si>
    <t xml:space="preserve">Forro de puertas</t>
  </si>
  <si>
    <t xml:space="preserve">Tapizado de timón</t>
  </si>
  <si>
    <t xml:space="preserve">Cielo (techo interior)</t>
  </si>
  <si>
    <t xml:space="preserve">Hoja de ejemplo con datos ficticios: muestra cómo se ve diligenciada. Use la primera hoja para trabajar.</t>
  </si>
  <si>
    <t xml:space="preserve">DATOS DE LA EMPRESA</t>
  </si>
  <si>
    <t xml:space="preserve">Escriba aquí los datos reales una sola vez: el encabezado de las otras hojas se actualiza solo.</t>
  </si>
  <si>
    <t xml:space="preserve">Razón social</t>
  </si>
  <si>
    <t xml:space="preserve">VELARA TALLER S.A.S.</t>
  </si>
  <si>
    <t xml:space="preserve">NIT</t>
  </si>
  <si>
    <t xml:space="preserve">[000.000.000-0]</t>
  </si>
  <si>
    <t xml:space="preserve">[Dirección]</t>
  </si>
  <si>
    <t xml:space="preserve">Barranquilla, Colombia</t>
  </si>
  <si>
    <t xml:space="preserve">[+57 300 000 0000]</t>
  </si>
  <si>
    <t xml:space="preserve">[correo@dominio.com]</t>
  </si>
  <si>
    <t xml:space="preserve">Sitio web</t>
  </si>
  <si>
    <t xml:space="preserve">[sitio web]</t>
  </si>
  <si>
    <t xml:space="preserve">Responsabilidad tributaria</t>
  </si>
  <si>
    <t xml:space="preserve">[Responsable de IVA]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</si>
</sst>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&quot;$ &quot;#,##0;&quot;-$ &quot;#,##0;\-"/>
    <numFmt numFmtId="167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B0B0B"/>
      <name val="Inter"/>
      <family val="0"/>
      <charset val="1"/>
    </font>
    <font>
      <sz val="8"/>
      <color rgb="FF4A4843"/>
      <name val="Inter"/>
      <family val="0"/>
      <charset val="1"/>
    </font>
    <font>
      <b val="true"/>
      <sz val="20"/>
      <color rgb="FF0B0B0B"/>
      <name val="Inter"/>
      <family val="0"/>
      <charset val="1"/>
    </font>
    <font>
      <sz val="8"/>
      <color rgb="FF5E5C57"/>
      <name val="Inter"/>
      <family val="0"/>
      <charset val="1"/>
    </font>
    <font>
      <b val="true"/>
      <sz val="9"/>
      <color rgb="FFD71920"/>
      <name val="Inter"/>
      <family val="0"/>
      <charset val="1"/>
    </font>
    <font>
      <sz val="9"/>
      <color rgb="FF0B0B0B"/>
      <name val="Inter"/>
      <family val="0"/>
      <charset val="1"/>
    </font>
    <font>
      <b val="true"/>
      <sz val="7.5"/>
      <color rgb="FF0B0B0B"/>
      <name val="Inter"/>
      <family val="0"/>
      <charset val="1"/>
    </font>
    <font>
      <b val="true"/>
      <sz val="7.5"/>
      <color rgb="FFFFFFFF"/>
      <name val="Inter"/>
      <family val="0"/>
      <charset val="1"/>
    </font>
    <font>
      <sz val="8"/>
      <color rgb="FF8C8A84"/>
      <name val="Inter"/>
      <family val="0"/>
      <charset val="1"/>
    </font>
    <font>
      <b val="true"/>
      <sz val="9.5"/>
      <color rgb="FFFFFFFF"/>
      <name val="Inter"/>
      <family val="0"/>
      <charset val="1"/>
    </font>
    <font>
      <b val="true"/>
      <sz val="8.5"/>
      <color rgb="FF0B0B0B"/>
      <name val="Inter"/>
      <family val="0"/>
      <charset val="1"/>
    </font>
    <font>
      <sz val="7.5"/>
      <color rgb="FF6A6863"/>
      <name val="Inter"/>
      <family val="0"/>
      <charset val="1"/>
    </font>
    <font>
      <i val="true"/>
      <sz val="8"/>
      <color rgb="FF5E5C57"/>
      <name val="Inter"/>
      <family val="0"/>
      <charset val="1"/>
    </font>
    <font>
      <i val="true"/>
      <sz val="8"/>
      <color rgb="FFD71920"/>
      <name val="Inter"/>
      <family val="0"/>
      <charset val="1"/>
    </font>
    <font>
      <b val="true"/>
      <sz val="11"/>
      <color rgb="FF0B0B0B"/>
      <name val="Inter"/>
      <family val="0"/>
      <charset val="1"/>
    </font>
    <font>
      <sz val="9"/>
      <color rgb="FF5E5C57"/>
      <name val="Inter"/>
      <family val="0"/>
      <charset val="1"/>
    </font>
    <font>
      <sz val="10"/>
      <color rgb="FF0B0B0B"/>
      <name val="Inter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7F5EF"/>
        <bgColor rgb="FFFFFFFF"/>
      </patternFill>
    </fill>
    <fill>
      <patternFill patternType="solid">
        <fgColor rgb="FF252525"/>
        <bgColor rgb="FF0B0B0B"/>
      </patternFill>
    </fill>
    <fill>
      <patternFill patternType="solid">
        <fgColor rgb="FFD71920"/>
        <bgColor rgb="FF993300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D71920"/>
      </bottom>
      <diagonal/>
    </border>
    <border diagonalUp="false" diagonalDown="false">
      <left/>
      <right/>
      <top/>
      <bottom style="medium">
        <color rgb="FFD71920"/>
      </bottom>
      <diagonal/>
    </border>
    <border diagonalUp="false" diagonalDown="false">
      <left/>
      <right/>
      <top/>
      <bottom style="thin">
        <color rgb="FFCFCBC2"/>
      </bottom>
      <diagonal/>
    </border>
    <border diagonalUp="false" diagonalDown="false">
      <left/>
      <right/>
      <top/>
      <bottom style="thin">
        <color rgb="FFDDD9D0"/>
      </bottom>
      <diagonal/>
    </border>
    <border diagonalUp="false" diagonalDown="false">
      <left/>
      <right/>
      <top style="thin">
        <color rgb="FFDDD9D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2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9" fillId="0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9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4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6" fontId="13" fillId="4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7192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E5C57"/>
      <rgbColor rgb="FF800080"/>
      <rgbColor rgb="FF008080"/>
      <rgbColor rgb="FFCFCBC2"/>
      <rgbColor rgb="FF8C8A84"/>
      <rgbColor rgb="FF9999FF"/>
      <rgbColor rgb="FF993366"/>
      <rgbColor rgb="FFF7F5EF"/>
      <rgbColor rgb="FFCCFFFF"/>
      <rgbColor rgb="FF660066"/>
      <rgbColor rgb="FFFF8080"/>
      <rgbColor rgb="FF0066CC"/>
      <rgbColor rgb="FFDDD9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6863"/>
      <rgbColor rgb="FF969696"/>
      <rgbColor rgb="FF003366"/>
      <rgbColor rgb="FF339966"/>
      <rgbColor rgb="FF0B0B0B"/>
      <rgbColor rgb="FF4A4843"/>
      <rgbColor rgb="FF993300"/>
      <rgbColor rgb="FF993366"/>
      <rgbColor rgb="FF333399"/>
      <rgbColor rgb="FF25252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286920</xdr:colOff>
      <xdr:row>2</xdr:row>
      <xdr:rowOff>37440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2189880" cy="342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286920</xdr:colOff>
      <xdr:row>2</xdr:row>
      <xdr:rowOff>37440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2189880" cy="342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0"/>
    <col collapsed="false" customWidth="true" hidden="false" outlineLevel="0" max="3" min="3" style="1" width="30"/>
    <col collapsed="false" customWidth="true" hidden="false" outlineLevel="0" max="4" min="4" style="1" width="9"/>
    <col collapsed="false" customWidth="true" hidden="false" outlineLevel="0" max="5" min="5" style="1" width="17"/>
    <col collapsed="false" customWidth="true" hidden="false" outlineLevel="0" max="6" min="6" style="1" width="22"/>
  </cols>
  <sheetData>
    <row r="1" customFormat="false" ht="12" hidden="false" customHeight="true" outlineLevel="0" collapsed="false">
      <c r="D1" s="2" t="str">
        <f aca="false">UPPER(Empresa!$B$4)</f>
        <v>VELARA TALLER S.A.S.</v>
      </c>
      <c r="E1" s="2"/>
      <c r="F1" s="2"/>
    </row>
    <row r="2" customFormat="false" ht="12" hidden="false" customHeight="true" outlineLevel="0" collapsed="false">
      <c r="D2" s="3" t="str">
        <f aca="false">"NIT "&amp;Empresa!$B$5</f>
        <v>NIT [000.000.000-0]</v>
      </c>
      <c r="E2" s="3"/>
      <c r="F2" s="3"/>
    </row>
    <row r="3" customFormat="false" ht="12" hidden="false" customHeight="true" outlineLevel="0" collapsed="false">
      <c r="D3" s="3" t="str">
        <f aca="false">Empresa!$B$6&amp;" · "&amp;Empresa!$B$7</f>
        <v>[Dirección] · Barranquilla, Colombia</v>
      </c>
      <c r="E3" s="3"/>
      <c r="F3" s="3"/>
    </row>
    <row r="4" customFormat="false" ht="12" hidden="false" customHeight="true" outlineLevel="0" collapsed="false">
      <c r="D4" s="3" t="str">
        <f aca="false">Empresa!$B$8&amp;" · "&amp;Empresa!$B$9</f>
        <v>[+57 300 000 0000] · [correo@dominio.com]</v>
      </c>
      <c r="E4" s="3"/>
      <c r="F4" s="3"/>
    </row>
    <row r="5" customFormat="false" ht="12" hidden="false" customHeight="true" outlineLevel="0" collapsed="false">
      <c r="D5" s="3" t="str">
        <f aca="false">Empresa!$B$10</f>
        <v>[sitio web]</v>
      </c>
      <c r="E5" s="3"/>
      <c r="F5" s="3"/>
    </row>
    <row r="7" customFormat="false" ht="15.75" hidden="false" customHeight="true" outlineLevel="0" collapsed="false">
      <c r="A7" s="4" t="s">
        <v>0</v>
      </c>
      <c r="E7" s="5" t="s">
        <v>1</v>
      </c>
      <c r="F7" s="6"/>
    </row>
    <row r="8" customFormat="false" ht="15.75" hidden="false" customHeight="true" outlineLevel="0" collapsed="false">
      <c r="E8" s="5" t="s">
        <v>2</v>
      </c>
      <c r="F8" s="7"/>
    </row>
    <row r="9" customFormat="false" ht="15.75" hidden="false" customHeight="true" outlineLevel="0" collapsed="false">
      <c r="E9" s="5" t="s">
        <v>3</v>
      </c>
      <c r="F9" s="8" t="str">
        <f aca="false">IF(F8="","",F8+15)</f>
        <v/>
      </c>
    </row>
    <row r="10" customFormat="false" ht="15.75" hidden="false" customHeight="true" outlineLevel="0" collapsed="false">
      <c r="E10" s="5" t="s">
        <v>4</v>
      </c>
      <c r="F10" s="9"/>
    </row>
    <row r="12" customFormat="false" ht="15" hidden="false" customHeight="false" outlineLevel="0" collapsed="false">
      <c r="A12" s="10" t="s">
        <v>5</v>
      </c>
      <c r="E12" s="10" t="s">
        <v>6</v>
      </c>
    </row>
    <row r="13" customFormat="false" ht="15.75" hidden="false" customHeight="true" outlineLevel="0" collapsed="false">
      <c r="A13" s="11" t="s">
        <v>7</v>
      </c>
      <c r="B13" s="11"/>
      <c r="C13" s="9"/>
      <c r="D13" s="9"/>
      <c r="E13" s="5" t="s">
        <v>8</v>
      </c>
      <c r="F13" s="9"/>
    </row>
    <row r="14" customFormat="false" ht="15.75" hidden="false" customHeight="true" outlineLevel="0" collapsed="false">
      <c r="A14" s="11" t="s">
        <v>9</v>
      </c>
      <c r="B14" s="11"/>
      <c r="C14" s="9"/>
      <c r="D14" s="9"/>
      <c r="E14" s="5" t="s">
        <v>10</v>
      </c>
      <c r="F14" s="9"/>
    </row>
    <row r="15" customFormat="false" ht="15.75" hidden="false" customHeight="true" outlineLevel="0" collapsed="false">
      <c r="A15" s="11" t="s">
        <v>11</v>
      </c>
      <c r="B15" s="11"/>
      <c r="C15" s="9"/>
      <c r="D15" s="9"/>
      <c r="E15" s="5" t="s">
        <v>12</v>
      </c>
      <c r="F15" s="9"/>
    </row>
    <row r="16" customFormat="false" ht="15.75" hidden="false" customHeight="true" outlineLevel="0" collapsed="false">
      <c r="A16" s="11" t="s">
        <v>13</v>
      </c>
      <c r="B16" s="11"/>
      <c r="C16" s="9"/>
      <c r="D16" s="9"/>
      <c r="E16" s="5" t="s">
        <v>14</v>
      </c>
      <c r="F16" s="9"/>
    </row>
    <row r="17" customFormat="false" ht="15.75" hidden="false" customHeight="true" outlineLevel="0" collapsed="false">
      <c r="A17" s="11" t="s">
        <v>15</v>
      </c>
      <c r="B17" s="11"/>
      <c r="C17" s="9"/>
      <c r="D17" s="9"/>
      <c r="E17" s="5" t="s">
        <v>16</v>
      </c>
      <c r="F17" s="9"/>
    </row>
    <row r="18" customFormat="false" ht="15.75" hidden="false" customHeight="true" outlineLevel="0" collapsed="false">
      <c r="A18" s="11" t="s">
        <v>17</v>
      </c>
      <c r="B18" s="11"/>
      <c r="C18" s="9"/>
      <c r="D18" s="9"/>
      <c r="E18" s="5" t="s">
        <v>18</v>
      </c>
      <c r="F18" s="9"/>
    </row>
    <row r="20" customFormat="false" ht="19.5" hidden="false" customHeight="true" outlineLevel="0" collapsed="false">
      <c r="A20" s="12" t="s">
        <v>19</v>
      </c>
      <c r="B20" s="13" t="s">
        <v>20</v>
      </c>
      <c r="C20" s="13"/>
      <c r="D20" s="12" t="s">
        <v>21</v>
      </c>
      <c r="E20" s="14" t="s">
        <v>22</v>
      </c>
      <c r="F20" s="14" t="s">
        <v>23</v>
      </c>
    </row>
    <row r="21" customFormat="false" ht="18" hidden="false" customHeight="true" outlineLevel="0" collapsed="false">
      <c r="A21" s="15" t="n">
        <v>1</v>
      </c>
      <c r="B21" s="16"/>
      <c r="C21" s="16"/>
      <c r="D21" s="17"/>
      <c r="E21" s="18"/>
      <c r="F21" s="19" t="str">
        <f aca="false">IF(OR(D21="",E21=""),"",D21*E21)</f>
        <v/>
      </c>
    </row>
    <row r="22" customFormat="false" ht="18" hidden="false" customHeight="true" outlineLevel="0" collapsed="false">
      <c r="A22" s="15" t="n">
        <v>2</v>
      </c>
      <c r="B22" s="16"/>
      <c r="C22" s="16"/>
      <c r="D22" s="17"/>
      <c r="E22" s="18"/>
      <c r="F22" s="19" t="str">
        <f aca="false">IF(OR(D22="",E22=""),"",D22*E22)</f>
        <v/>
      </c>
    </row>
    <row r="23" customFormat="false" ht="18" hidden="false" customHeight="true" outlineLevel="0" collapsed="false">
      <c r="A23" s="15" t="n">
        <v>3</v>
      </c>
      <c r="B23" s="16"/>
      <c r="C23" s="16"/>
      <c r="D23" s="17"/>
      <c r="E23" s="18"/>
      <c r="F23" s="19" t="str">
        <f aca="false">IF(OR(D23="",E23=""),"",D23*E23)</f>
        <v/>
      </c>
    </row>
    <row r="24" customFormat="false" ht="18" hidden="false" customHeight="true" outlineLevel="0" collapsed="false">
      <c r="A24" s="15" t="n">
        <v>4</v>
      </c>
      <c r="B24" s="16"/>
      <c r="C24" s="16"/>
      <c r="D24" s="17"/>
      <c r="E24" s="18"/>
      <c r="F24" s="19" t="str">
        <f aca="false">IF(OR(D24="",E24=""),"",D24*E24)</f>
        <v/>
      </c>
    </row>
    <row r="25" customFormat="false" ht="18" hidden="false" customHeight="true" outlineLevel="0" collapsed="false">
      <c r="A25" s="15" t="n">
        <v>5</v>
      </c>
      <c r="B25" s="16"/>
      <c r="C25" s="16"/>
      <c r="D25" s="17"/>
      <c r="E25" s="18"/>
      <c r="F25" s="19" t="str">
        <f aca="false">IF(OR(D25="",E25=""),"",D25*E25)</f>
        <v/>
      </c>
    </row>
    <row r="26" customFormat="false" ht="18" hidden="false" customHeight="true" outlineLevel="0" collapsed="false">
      <c r="A26" s="15" t="n">
        <v>6</v>
      </c>
      <c r="B26" s="16"/>
      <c r="C26" s="16"/>
      <c r="D26" s="17"/>
      <c r="E26" s="18"/>
      <c r="F26" s="19" t="str">
        <f aca="false">IF(OR(D26="",E26=""),"",D26*E26)</f>
        <v/>
      </c>
    </row>
    <row r="27" customFormat="false" ht="18" hidden="false" customHeight="true" outlineLevel="0" collapsed="false">
      <c r="A27" s="15" t="n">
        <v>7</v>
      </c>
      <c r="B27" s="16"/>
      <c r="C27" s="16"/>
      <c r="D27" s="17"/>
      <c r="E27" s="18"/>
      <c r="F27" s="19" t="str">
        <f aca="false">IF(OR(D27="",E27=""),"",D27*E27)</f>
        <v/>
      </c>
    </row>
    <row r="28" customFormat="false" ht="18" hidden="false" customHeight="true" outlineLevel="0" collapsed="false">
      <c r="A28" s="15" t="n">
        <v>8</v>
      </c>
      <c r="B28" s="16"/>
      <c r="C28" s="16"/>
      <c r="D28" s="17"/>
      <c r="E28" s="18"/>
      <c r="F28" s="19" t="str">
        <f aca="false">IF(OR(D28="",E28=""),"",D28*E28)</f>
        <v/>
      </c>
    </row>
    <row r="29" customFormat="false" ht="18" hidden="false" customHeight="true" outlineLevel="0" collapsed="false">
      <c r="A29" s="15" t="n">
        <v>9</v>
      </c>
      <c r="B29" s="16"/>
      <c r="C29" s="16"/>
      <c r="D29" s="17"/>
      <c r="E29" s="18"/>
      <c r="F29" s="19" t="str">
        <f aca="false">IF(OR(D29="",E29=""),"",D29*E29)</f>
        <v/>
      </c>
    </row>
    <row r="30" customFormat="false" ht="18" hidden="false" customHeight="true" outlineLevel="0" collapsed="false">
      <c r="A30" s="15" t="n">
        <v>10</v>
      </c>
      <c r="B30" s="16"/>
      <c r="C30" s="16"/>
      <c r="D30" s="17"/>
      <c r="E30" s="18"/>
      <c r="F30" s="19" t="str">
        <f aca="false">IF(OR(D30="",E30=""),"",D30*E30)</f>
        <v/>
      </c>
    </row>
    <row r="32" customFormat="false" ht="16.5" hidden="false" customHeight="true" outlineLevel="0" collapsed="false">
      <c r="E32" s="20" t="s">
        <v>24</v>
      </c>
      <c r="F32" s="19" t="n">
        <f aca="false">SUM(F21:F30)</f>
        <v>0</v>
      </c>
    </row>
    <row r="33" customFormat="false" ht="16.5" hidden="false" customHeight="true" outlineLevel="0" collapsed="false">
      <c r="C33" s="21" t="s">
        <v>25</v>
      </c>
      <c r="D33" s="22" t="n">
        <v>0.19</v>
      </c>
      <c r="E33" s="20" t="s">
        <v>26</v>
      </c>
      <c r="F33" s="19" t="n">
        <f aca="false">ROUND(F32*D33,0)</f>
        <v>0</v>
      </c>
    </row>
    <row r="34" customFormat="false" ht="19.5" hidden="false" customHeight="true" outlineLevel="0" collapsed="false">
      <c r="E34" s="23" t="s">
        <v>27</v>
      </c>
      <c r="F34" s="24" t="n">
        <f aca="false">F32+F33</f>
        <v>0</v>
      </c>
    </row>
    <row r="36" customFormat="false" ht="15" hidden="false" customHeight="false" outlineLevel="0" collapsed="false">
      <c r="A36" s="10" t="s">
        <v>28</v>
      </c>
    </row>
    <row r="37" customFormat="false" ht="12.75" hidden="false" customHeight="true" outlineLevel="0" collapsed="false">
      <c r="A37" s="11" t="s">
        <v>29</v>
      </c>
      <c r="B37" s="11"/>
      <c r="C37" s="11"/>
      <c r="D37" s="11"/>
      <c r="E37" s="11"/>
      <c r="F37" s="11"/>
    </row>
    <row r="38" customFormat="false" ht="12.75" hidden="false" customHeight="true" outlineLevel="0" collapsed="false">
      <c r="A38" s="11" t="s">
        <v>30</v>
      </c>
      <c r="B38" s="11"/>
      <c r="C38" s="11"/>
      <c r="D38" s="11"/>
      <c r="E38" s="11"/>
      <c r="F38" s="11"/>
    </row>
    <row r="39" customFormat="false" ht="12.75" hidden="false" customHeight="true" outlineLevel="0" collapsed="false">
      <c r="A39" s="11" t="s">
        <v>31</v>
      </c>
      <c r="B39" s="11"/>
      <c r="C39" s="11"/>
      <c r="D39" s="11"/>
      <c r="E39" s="11"/>
      <c r="F39" s="11"/>
    </row>
    <row r="40" customFormat="false" ht="12.75" hidden="false" customHeight="true" outlineLevel="0" collapsed="false">
      <c r="A40" s="11" t="s">
        <v>32</v>
      </c>
      <c r="B40" s="11"/>
      <c r="C40" s="11"/>
      <c r="D40" s="11"/>
      <c r="E40" s="11"/>
      <c r="F40" s="11"/>
    </row>
    <row r="41" customFormat="false" ht="12.75" hidden="false" customHeight="true" outlineLevel="0" collapsed="false">
      <c r="A41" s="11" t="s">
        <v>33</v>
      </c>
      <c r="B41" s="11"/>
      <c r="C41" s="11"/>
      <c r="D41" s="11"/>
      <c r="E41" s="11"/>
      <c r="F41" s="11"/>
    </row>
    <row r="42" customFormat="false" ht="12.75" hidden="false" customHeight="true" outlineLevel="0" collapsed="false">
      <c r="A42" s="11" t="s">
        <v>34</v>
      </c>
      <c r="B42" s="11"/>
      <c r="C42" s="11"/>
      <c r="D42" s="11"/>
      <c r="E42" s="11"/>
      <c r="F42" s="11"/>
    </row>
    <row r="44" customFormat="false" ht="15" hidden="false" customHeight="false" outlineLevel="0" collapsed="false">
      <c r="A44" s="25" t="s">
        <v>35</v>
      </c>
      <c r="B44" s="25"/>
      <c r="C44" s="25"/>
      <c r="D44" s="25"/>
      <c r="E44" s="25"/>
      <c r="F44" s="25"/>
    </row>
    <row r="46" customFormat="false" ht="18" hidden="false" customHeight="true" outlineLevel="0" collapsed="false">
      <c r="A46" s="26" t="str">
        <f aca="false">Empresa!$B$10&amp;"   |   "&amp;Empresa!$B$8&amp;"   |   "&amp;Empresa!$B$7</f>
        <v>[sitio web]   |   [+57 300 000 0000]   |   Barranquilla, Colombia</v>
      </c>
      <c r="B46" s="26"/>
      <c r="C46" s="26"/>
      <c r="D46" s="26"/>
      <c r="E46" s="26"/>
      <c r="F46" s="26"/>
    </row>
    <row r="48" customFormat="false" ht="15.75" hidden="false" customHeight="true" outlineLevel="0" collapsed="false">
      <c r="A48" s="27" t="s">
        <v>36</v>
      </c>
      <c r="B48" s="27"/>
      <c r="C48" s="27"/>
      <c r="D48" s="27"/>
      <c r="E48" s="27"/>
      <c r="F48" s="27"/>
    </row>
    <row r="49" customFormat="false" ht="15.75" hidden="false" customHeight="true" outlineLevel="0" collapsed="false">
      <c r="A49" s="27"/>
      <c r="B49" s="27"/>
      <c r="C49" s="27"/>
      <c r="D49" s="27"/>
      <c r="E49" s="27"/>
      <c r="F49" s="27"/>
    </row>
  </sheetData>
  <mergeCells count="37">
    <mergeCell ref="D1:F1"/>
    <mergeCell ref="D2:F2"/>
    <mergeCell ref="D3:F3"/>
    <mergeCell ref="D4:F4"/>
    <mergeCell ref="D5:F5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37:F37"/>
    <mergeCell ref="A38:F38"/>
    <mergeCell ref="A39:F39"/>
    <mergeCell ref="A40:F40"/>
    <mergeCell ref="A41:F41"/>
    <mergeCell ref="A42:F42"/>
    <mergeCell ref="A44:F44"/>
    <mergeCell ref="A46:F46"/>
    <mergeCell ref="A48:F49"/>
  </mergeCells>
  <printOptions headings="false" gridLines="false" gridLinesSet="true" horizontalCentered="true" verticalCentered="false"/>
  <pageMargins left="0.45" right="0.45" top="0.4" bottom="0.4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0"/>
    <col collapsed="false" customWidth="true" hidden="false" outlineLevel="0" max="3" min="3" style="1" width="30"/>
    <col collapsed="false" customWidth="true" hidden="false" outlineLevel="0" max="4" min="4" style="1" width="9"/>
    <col collapsed="false" customWidth="true" hidden="false" outlineLevel="0" max="5" min="5" style="1" width="17"/>
    <col collapsed="false" customWidth="true" hidden="false" outlineLevel="0" max="6" min="6" style="1" width="22"/>
  </cols>
  <sheetData>
    <row r="1" customFormat="false" ht="12" hidden="false" customHeight="true" outlineLevel="0" collapsed="false">
      <c r="D1" s="2" t="str">
        <f aca="false">UPPER(Empresa!$B$4)</f>
        <v>VELARA TALLER S.A.S.</v>
      </c>
      <c r="E1" s="2"/>
      <c r="F1" s="2"/>
    </row>
    <row r="2" customFormat="false" ht="12" hidden="false" customHeight="true" outlineLevel="0" collapsed="false">
      <c r="D2" s="3" t="str">
        <f aca="false">"NIT "&amp;Empresa!$B$5</f>
        <v>NIT [000.000.000-0]</v>
      </c>
      <c r="E2" s="3"/>
      <c r="F2" s="3"/>
    </row>
    <row r="3" customFormat="false" ht="12" hidden="false" customHeight="true" outlineLevel="0" collapsed="false">
      <c r="D3" s="3" t="str">
        <f aca="false">Empresa!$B$6&amp;" · "&amp;Empresa!$B$7</f>
        <v>[Dirección] · Barranquilla, Colombia</v>
      </c>
      <c r="E3" s="3"/>
      <c r="F3" s="3"/>
    </row>
    <row r="4" customFormat="false" ht="12" hidden="false" customHeight="true" outlineLevel="0" collapsed="false">
      <c r="D4" s="3" t="str">
        <f aca="false">Empresa!$B$8&amp;" · "&amp;Empresa!$B$9</f>
        <v>[+57 300 000 0000] · [correo@dominio.com]</v>
      </c>
      <c r="E4" s="3"/>
      <c r="F4" s="3"/>
    </row>
    <row r="5" customFormat="false" ht="12" hidden="false" customHeight="true" outlineLevel="0" collapsed="false">
      <c r="D5" s="3" t="str">
        <f aca="false">Empresa!$B$10</f>
        <v>[sitio web]</v>
      </c>
      <c r="E5" s="3"/>
      <c r="F5" s="3"/>
    </row>
    <row r="7" customFormat="false" ht="15.75" hidden="false" customHeight="true" outlineLevel="0" collapsed="false">
      <c r="A7" s="4" t="s">
        <v>0</v>
      </c>
      <c r="E7" s="5" t="s">
        <v>1</v>
      </c>
      <c r="F7" s="6" t="s">
        <v>37</v>
      </c>
    </row>
    <row r="8" customFormat="false" ht="15.75" hidden="false" customHeight="true" outlineLevel="0" collapsed="false">
      <c r="E8" s="5" t="s">
        <v>2</v>
      </c>
      <c r="F8" s="7" t="n">
        <v>46294</v>
      </c>
    </row>
    <row r="9" customFormat="false" ht="15.75" hidden="false" customHeight="true" outlineLevel="0" collapsed="false">
      <c r="E9" s="5" t="s">
        <v>3</v>
      </c>
      <c r="F9" s="8" t="n">
        <f aca="false">IF(F8="","",F8+15)</f>
        <v>46309</v>
      </c>
    </row>
    <row r="10" customFormat="false" ht="15.75" hidden="false" customHeight="true" outlineLevel="0" collapsed="false">
      <c r="E10" s="5" t="s">
        <v>4</v>
      </c>
      <c r="F10" s="9" t="s">
        <v>38</v>
      </c>
    </row>
    <row r="12" customFormat="false" ht="15" hidden="false" customHeight="false" outlineLevel="0" collapsed="false">
      <c r="A12" s="10" t="s">
        <v>5</v>
      </c>
      <c r="E12" s="10" t="s">
        <v>6</v>
      </c>
    </row>
    <row r="13" customFormat="false" ht="15.75" hidden="false" customHeight="true" outlineLevel="0" collapsed="false">
      <c r="A13" s="11" t="s">
        <v>7</v>
      </c>
      <c r="B13" s="11"/>
      <c r="C13" s="9" t="s">
        <v>39</v>
      </c>
      <c r="D13" s="9"/>
      <c r="E13" s="5" t="s">
        <v>8</v>
      </c>
      <c r="F13" s="9" t="s">
        <v>40</v>
      </c>
    </row>
    <row r="14" customFormat="false" ht="15.75" hidden="false" customHeight="true" outlineLevel="0" collapsed="false">
      <c r="A14" s="11" t="s">
        <v>9</v>
      </c>
      <c r="B14" s="11"/>
      <c r="C14" s="9" t="s">
        <v>41</v>
      </c>
      <c r="D14" s="9"/>
      <c r="E14" s="5" t="s">
        <v>10</v>
      </c>
      <c r="F14" s="9" t="s">
        <v>42</v>
      </c>
    </row>
    <row r="15" customFormat="false" ht="15.75" hidden="false" customHeight="true" outlineLevel="0" collapsed="false">
      <c r="A15" s="11" t="s">
        <v>11</v>
      </c>
      <c r="B15" s="11"/>
      <c r="C15" s="9" t="s">
        <v>43</v>
      </c>
      <c r="D15" s="9"/>
      <c r="E15" s="5" t="s">
        <v>12</v>
      </c>
      <c r="F15" s="9" t="s">
        <v>44</v>
      </c>
    </row>
    <row r="16" customFormat="false" ht="15.75" hidden="false" customHeight="true" outlineLevel="0" collapsed="false">
      <c r="A16" s="11" t="s">
        <v>13</v>
      </c>
      <c r="B16" s="11"/>
      <c r="C16" s="9" t="s">
        <v>45</v>
      </c>
      <c r="D16" s="9"/>
      <c r="E16" s="5" t="s">
        <v>14</v>
      </c>
      <c r="F16" s="9" t="s">
        <v>46</v>
      </c>
    </row>
    <row r="17" customFormat="false" ht="15.75" hidden="false" customHeight="true" outlineLevel="0" collapsed="false">
      <c r="A17" s="11" t="s">
        <v>15</v>
      </c>
      <c r="B17" s="11"/>
      <c r="C17" s="9" t="s">
        <v>47</v>
      </c>
      <c r="D17" s="9"/>
      <c r="E17" s="5" t="s">
        <v>16</v>
      </c>
      <c r="F17" s="9" t="s">
        <v>43</v>
      </c>
    </row>
    <row r="18" customFormat="false" ht="15.75" hidden="false" customHeight="true" outlineLevel="0" collapsed="false">
      <c r="A18" s="11" t="s">
        <v>17</v>
      </c>
      <c r="B18" s="11"/>
      <c r="C18" s="9" t="s">
        <v>48</v>
      </c>
      <c r="D18" s="9"/>
      <c r="E18" s="5" t="s">
        <v>18</v>
      </c>
      <c r="F18" s="9" t="s">
        <v>49</v>
      </c>
    </row>
    <row r="20" customFormat="false" ht="19.5" hidden="false" customHeight="true" outlineLevel="0" collapsed="false">
      <c r="A20" s="12" t="s">
        <v>19</v>
      </c>
      <c r="B20" s="13" t="s">
        <v>20</v>
      </c>
      <c r="C20" s="13"/>
      <c r="D20" s="12" t="s">
        <v>21</v>
      </c>
      <c r="E20" s="14" t="s">
        <v>22</v>
      </c>
      <c r="F20" s="14" t="s">
        <v>23</v>
      </c>
    </row>
    <row r="21" customFormat="false" ht="18" hidden="false" customHeight="true" outlineLevel="0" collapsed="false">
      <c r="A21" s="15" t="n">
        <v>1</v>
      </c>
      <c r="B21" s="16" t="s">
        <v>50</v>
      </c>
      <c r="C21" s="16"/>
      <c r="D21" s="17" t="n">
        <v>2</v>
      </c>
      <c r="E21" s="18" t="n">
        <v>450000</v>
      </c>
      <c r="F21" s="19" t="n">
        <f aca="false">IF(OR(D21="",E21=""),"",D21*E21)</f>
        <v>900000</v>
      </c>
    </row>
    <row r="22" customFormat="false" ht="18" hidden="false" customHeight="true" outlineLevel="0" collapsed="false">
      <c r="A22" s="15" t="n">
        <v>2</v>
      </c>
      <c r="B22" s="16" t="s">
        <v>51</v>
      </c>
      <c r="C22" s="16"/>
      <c r="D22" s="17" t="n">
        <v>4</v>
      </c>
      <c r="E22" s="18" t="n">
        <v>120000</v>
      </c>
      <c r="F22" s="19" t="n">
        <f aca="false">IF(OR(D22="",E22=""),"",D22*E22)</f>
        <v>480000</v>
      </c>
    </row>
    <row r="23" customFormat="false" ht="18" hidden="false" customHeight="true" outlineLevel="0" collapsed="false">
      <c r="A23" s="15" t="n">
        <v>3</v>
      </c>
      <c r="B23" s="16" t="s">
        <v>52</v>
      </c>
      <c r="C23" s="16"/>
      <c r="D23" s="17" t="n">
        <v>1</v>
      </c>
      <c r="E23" s="18" t="n">
        <v>80000</v>
      </c>
      <c r="F23" s="19" t="n">
        <f aca="false">IF(OR(D23="",E23=""),"",D23*E23)</f>
        <v>80000</v>
      </c>
    </row>
    <row r="24" customFormat="false" ht="18" hidden="false" customHeight="true" outlineLevel="0" collapsed="false">
      <c r="A24" s="15" t="n">
        <v>4</v>
      </c>
      <c r="B24" s="16" t="s">
        <v>53</v>
      </c>
      <c r="C24" s="16"/>
      <c r="D24" s="17" t="n">
        <v>1</v>
      </c>
      <c r="E24" s="18" t="n">
        <v>250000</v>
      </c>
      <c r="F24" s="19" t="n">
        <f aca="false">IF(OR(D24="",E24=""),"",D24*E24)</f>
        <v>250000</v>
      </c>
    </row>
    <row r="25" customFormat="false" ht="18" hidden="false" customHeight="true" outlineLevel="0" collapsed="false">
      <c r="A25" s="15" t="n">
        <v>5</v>
      </c>
      <c r="B25" s="16"/>
      <c r="C25" s="16"/>
      <c r="D25" s="17"/>
      <c r="E25" s="18"/>
      <c r="F25" s="19" t="str">
        <f aca="false">IF(OR(D25="",E25=""),"",D25*E25)</f>
        <v/>
      </c>
    </row>
    <row r="26" customFormat="false" ht="18" hidden="false" customHeight="true" outlineLevel="0" collapsed="false">
      <c r="A26" s="15" t="n">
        <v>6</v>
      </c>
      <c r="B26" s="16"/>
      <c r="C26" s="16"/>
      <c r="D26" s="17"/>
      <c r="E26" s="18"/>
      <c r="F26" s="19" t="str">
        <f aca="false">IF(OR(D26="",E26=""),"",D26*E26)</f>
        <v/>
      </c>
    </row>
    <row r="27" customFormat="false" ht="18" hidden="false" customHeight="true" outlineLevel="0" collapsed="false">
      <c r="A27" s="15" t="n">
        <v>7</v>
      </c>
      <c r="B27" s="16"/>
      <c r="C27" s="16"/>
      <c r="D27" s="17"/>
      <c r="E27" s="18"/>
      <c r="F27" s="19" t="str">
        <f aca="false">IF(OR(D27="",E27=""),"",D27*E27)</f>
        <v/>
      </c>
    </row>
    <row r="28" customFormat="false" ht="18" hidden="false" customHeight="true" outlineLevel="0" collapsed="false">
      <c r="A28" s="15" t="n">
        <v>8</v>
      </c>
      <c r="B28" s="16"/>
      <c r="C28" s="16"/>
      <c r="D28" s="17"/>
      <c r="E28" s="18"/>
      <c r="F28" s="19" t="str">
        <f aca="false">IF(OR(D28="",E28=""),"",D28*E28)</f>
        <v/>
      </c>
    </row>
    <row r="29" customFormat="false" ht="18" hidden="false" customHeight="true" outlineLevel="0" collapsed="false">
      <c r="A29" s="15" t="n">
        <v>9</v>
      </c>
      <c r="B29" s="16"/>
      <c r="C29" s="16"/>
      <c r="D29" s="17"/>
      <c r="E29" s="18"/>
      <c r="F29" s="19" t="str">
        <f aca="false">IF(OR(D29="",E29=""),"",D29*E29)</f>
        <v/>
      </c>
    </row>
    <row r="30" customFormat="false" ht="18" hidden="false" customHeight="true" outlineLevel="0" collapsed="false">
      <c r="A30" s="15" t="n">
        <v>10</v>
      </c>
      <c r="B30" s="16"/>
      <c r="C30" s="16"/>
      <c r="D30" s="17"/>
      <c r="E30" s="18"/>
      <c r="F30" s="19" t="str">
        <f aca="false">IF(OR(D30="",E30=""),"",D30*E30)</f>
        <v/>
      </c>
    </row>
    <row r="32" customFormat="false" ht="16.5" hidden="false" customHeight="true" outlineLevel="0" collapsed="false">
      <c r="E32" s="20" t="s">
        <v>24</v>
      </c>
      <c r="F32" s="19" t="n">
        <f aca="false">SUM(F21:F30)</f>
        <v>1710000</v>
      </c>
    </row>
    <row r="33" customFormat="false" ht="16.5" hidden="false" customHeight="true" outlineLevel="0" collapsed="false">
      <c r="C33" s="21" t="s">
        <v>25</v>
      </c>
      <c r="D33" s="22" t="n">
        <v>0.19</v>
      </c>
      <c r="E33" s="20" t="s">
        <v>26</v>
      </c>
      <c r="F33" s="19" t="n">
        <f aca="false">ROUND(F32*D33,0)</f>
        <v>324900</v>
      </c>
    </row>
    <row r="34" customFormat="false" ht="19.5" hidden="false" customHeight="true" outlineLevel="0" collapsed="false">
      <c r="E34" s="23" t="s">
        <v>27</v>
      </c>
      <c r="F34" s="24" t="n">
        <f aca="false">F32+F33</f>
        <v>2034900</v>
      </c>
    </row>
    <row r="36" customFormat="false" ht="15" hidden="false" customHeight="false" outlineLevel="0" collapsed="false">
      <c r="A36" s="10" t="s">
        <v>28</v>
      </c>
    </row>
    <row r="37" customFormat="false" ht="12.75" hidden="false" customHeight="true" outlineLevel="0" collapsed="false">
      <c r="A37" s="11" t="s">
        <v>29</v>
      </c>
      <c r="B37" s="11"/>
      <c r="C37" s="11"/>
      <c r="D37" s="11"/>
      <c r="E37" s="11"/>
      <c r="F37" s="11"/>
    </row>
    <row r="38" customFormat="false" ht="12.75" hidden="false" customHeight="true" outlineLevel="0" collapsed="false">
      <c r="A38" s="11" t="s">
        <v>30</v>
      </c>
      <c r="B38" s="11"/>
      <c r="C38" s="11"/>
      <c r="D38" s="11"/>
      <c r="E38" s="11"/>
      <c r="F38" s="11"/>
    </row>
    <row r="39" customFormat="false" ht="12.75" hidden="false" customHeight="true" outlineLevel="0" collapsed="false">
      <c r="A39" s="11" t="s">
        <v>31</v>
      </c>
      <c r="B39" s="11"/>
      <c r="C39" s="11"/>
      <c r="D39" s="11"/>
      <c r="E39" s="11"/>
      <c r="F39" s="11"/>
    </row>
    <row r="40" customFormat="false" ht="12.75" hidden="false" customHeight="true" outlineLevel="0" collapsed="false">
      <c r="A40" s="11" t="s">
        <v>32</v>
      </c>
      <c r="B40" s="11"/>
      <c r="C40" s="11"/>
      <c r="D40" s="11"/>
      <c r="E40" s="11"/>
      <c r="F40" s="11"/>
    </row>
    <row r="41" customFormat="false" ht="12.75" hidden="false" customHeight="true" outlineLevel="0" collapsed="false">
      <c r="A41" s="11" t="s">
        <v>33</v>
      </c>
      <c r="B41" s="11"/>
      <c r="C41" s="11"/>
      <c r="D41" s="11"/>
      <c r="E41" s="11"/>
      <c r="F41" s="11"/>
    </row>
    <row r="42" customFormat="false" ht="12.75" hidden="false" customHeight="true" outlineLevel="0" collapsed="false">
      <c r="A42" s="11" t="s">
        <v>34</v>
      </c>
      <c r="B42" s="11"/>
      <c r="C42" s="11"/>
      <c r="D42" s="11"/>
      <c r="E42" s="11"/>
      <c r="F42" s="11"/>
    </row>
    <row r="44" customFormat="false" ht="15" hidden="false" customHeight="false" outlineLevel="0" collapsed="false">
      <c r="A44" s="25" t="s">
        <v>35</v>
      </c>
      <c r="B44" s="25"/>
      <c r="C44" s="25"/>
      <c r="D44" s="25"/>
      <c r="E44" s="25"/>
      <c r="F44" s="25"/>
    </row>
    <row r="46" customFormat="false" ht="18" hidden="false" customHeight="true" outlineLevel="0" collapsed="false">
      <c r="A46" s="26" t="str">
        <f aca="false">Empresa!$B$10&amp;"   |   "&amp;Empresa!$B$8&amp;"   |   "&amp;Empresa!$B$7</f>
        <v>[sitio web]   |   [+57 300 000 0000]   |   Barranquilla, Colombia</v>
      </c>
      <c r="B46" s="26"/>
      <c r="C46" s="26"/>
      <c r="D46" s="26"/>
      <c r="E46" s="26"/>
      <c r="F46" s="26"/>
    </row>
    <row r="48" customFormat="false" ht="15.75" hidden="false" customHeight="true" outlineLevel="0" collapsed="false">
      <c r="A48" s="27" t="s">
        <v>36</v>
      </c>
      <c r="B48" s="27"/>
      <c r="C48" s="27"/>
      <c r="D48" s="27"/>
      <c r="E48" s="27"/>
      <c r="F48" s="27"/>
    </row>
    <row r="49" customFormat="false" ht="15.75" hidden="false" customHeight="true" outlineLevel="0" collapsed="false">
      <c r="A49" s="27"/>
      <c r="B49" s="27"/>
      <c r="C49" s="27"/>
      <c r="D49" s="27"/>
      <c r="E49" s="27"/>
      <c r="F49" s="27"/>
    </row>
    <row r="51" customFormat="false" ht="15" hidden="false" customHeight="false" outlineLevel="0" collapsed="false">
      <c r="A51" s="28" t="s">
        <v>54</v>
      </c>
    </row>
  </sheetData>
  <mergeCells count="37">
    <mergeCell ref="D1:F1"/>
    <mergeCell ref="D2:F2"/>
    <mergeCell ref="D3:F3"/>
    <mergeCell ref="D4:F4"/>
    <mergeCell ref="D5:F5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37:F37"/>
    <mergeCell ref="A38:F38"/>
    <mergeCell ref="A39:F39"/>
    <mergeCell ref="A40:F40"/>
    <mergeCell ref="A41:F41"/>
    <mergeCell ref="A42:F42"/>
    <mergeCell ref="A44:F44"/>
    <mergeCell ref="A46:F46"/>
    <mergeCell ref="A48:F49"/>
  </mergeCells>
  <printOptions headings="false" gridLines="false" gridLinesSet="true" horizontalCentered="true" verticalCentered="false"/>
  <pageMargins left="0.45" right="0.45" top="0.4" bottom="0.4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6"/>
  </cols>
  <sheetData>
    <row r="1" customFormat="false" ht="15" hidden="false" customHeight="false" outlineLevel="0" collapsed="false">
      <c r="A1" s="29" t="s">
        <v>55</v>
      </c>
    </row>
    <row r="2" customFormat="false" ht="15" hidden="false" customHeight="false" outlineLevel="0" collapsed="false">
      <c r="A2" s="30" t="s">
        <v>56</v>
      </c>
    </row>
    <row r="4" customFormat="false" ht="15" hidden="false" customHeight="false" outlineLevel="0" collapsed="false">
      <c r="A4" s="30" t="s">
        <v>57</v>
      </c>
      <c r="B4" s="31" t="s">
        <v>58</v>
      </c>
    </row>
    <row r="5" customFormat="false" ht="15" hidden="false" customHeight="false" outlineLevel="0" collapsed="false">
      <c r="A5" s="30" t="s">
        <v>59</v>
      </c>
      <c r="B5" s="31" t="s">
        <v>60</v>
      </c>
    </row>
    <row r="6" customFormat="false" ht="15" hidden="false" customHeight="false" outlineLevel="0" collapsed="false">
      <c r="A6" s="30" t="s">
        <v>15</v>
      </c>
      <c r="B6" s="31" t="s">
        <v>61</v>
      </c>
    </row>
    <row r="7" customFormat="false" ht="15" hidden="false" customHeight="false" outlineLevel="0" collapsed="false">
      <c r="A7" s="30" t="s">
        <v>17</v>
      </c>
      <c r="B7" s="31" t="s">
        <v>62</v>
      </c>
    </row>
    <row r="8" customFormat="false" ht="15" hidden="false" customHeight="false" outlineLevel="0" collapsed="false">
      <c r="A8" s="30" t="s">
        <v>11</v>
      </c>
      <c r="B8" s="31" t="s">
        <v>63</v>
      </c>
    </row>
    <row r="9" customFormat="false" ht="15" hidden="false" customHeight="false" outlineLevel="0" collapsed="false">
      <c r="A9" s="30" t="s">
        <v>13</v>
      </c>
      <c r="B9" s="31" t="s">
        <v>64</v>
      </c>
    </row>
    <row r="10" customFormat="false" ht="15" hidden="false" customHeight="false" outlineLevel="0" collapsed="false">
      <c r="A10" s="30" t="s">
        <v>65</v>
      </c>
      <c r="B10" s="31" t="s">
        <v>66</v>
      </c>
    </row>
    <row r="11" customFormat="false" ht="15" hidden="false" customHeight="false" outlineLevel="0" collapsed="false">
      <c r="A11" s="30" t="s">
        <v>67</v>
      </c>
      <c r="B11" s="31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2026-09-29T05:23:26Z</dcterms:created>
  <dc:creator>VELARA Taller S.A.S.</dc:creator>
  <dc:description/>
  <dc:language>en-US</dc:language>
  <cp:lastModifiedBy/>
  <dcterms:modified xsi:type="dcterms:W3CDTF">2026-09-29T05:23:26Z</dcterms:modified>
  <cp:revision>0</cp:revision>
  <dc:subject/>
  <dc:title>VELARA — Cotización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
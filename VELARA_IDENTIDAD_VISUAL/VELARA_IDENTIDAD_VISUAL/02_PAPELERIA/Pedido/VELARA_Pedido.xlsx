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" sheetId="1" state="visible" r:id="rId3"/>
    <sheet name="Ejemplo" sheetId="2" state="visible" r:id="rId4"/>
    <sheet name="Empresa" sheetId="3" state="visible" r:id="rId5"/>
  </sheets>
  <definedNames>
    <definedName function="false" hidden="false" localSheetId="1" name="_xlnm.Print_Area" vbProcedure="false">Ejemplo!$A$1:$F$45</definedName>
    <definedName function="false" hidden="false" localSheetId="0" name="_xlnm.Print_Area" vbProcedure="false">Pedido!$A$1:$F$45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<sst xmlns="http://schemas.openxmlformats.org/spreadsheetml/2006/main" count="109" uniqueCount="67">
  <si>
    <t xml:space="preserve">PEDIDO</t>
  </si>
  <si>
    <t xml:space="preserve">N.º</t>
  </si>
  <si>
    <t xml:space="preserve">ORDEN DE TRABAJO</t>
  </si>
  <si>
    <t xml:space="preserve">Fecha del pedido</t>
  </si>
  <si>
    <t xml:space="preserve">Entrega estimada</t>
  </si>
  <si>
    <t xml:space="preserve">Estado</t>
  </si>
  <si>
    <t xml:space="preserve">DATOS DEL CLIENTE</t>
  </si>
  <si>
    <t xml:space="preserve">DETALLE DEL TRABAJO</t>
  </si>
  <si>
    <t xml:space="preserve">Nombre / razón social</t>
  </si>
  <si>
    <t xml:space="preserve">Vehículo o proyecto</t>
  </si>
  <si>
    <t xml:space="preserve">NIT / C.C.</t>
  </si>
  <si>
    <t xml:space="preserve">Placa o referencia</t>
  </si>
  <si>
    <t xml:space="preserve">Teléfono</t>
  </si>
  <si>
    <t xml:space="preserve">Asesor comercial</t>
  </si>
  <si>
    <t xml:space="preserve">Correo</t>
  </si>
  <si>
    <t xml:space="preserve">Teléfono asesor</t>
  </si>
  <si>
    <t xml:space="preserve">Dirección</t>
  </si>
  <si>
    <t xml:space="preserve">Cotización N.º</t>
  </si>
  <si>
    <t xml:space="preserve">Ciudad</t>
  </si>
  <si>
    <t xml:space="preserve">Instalación en</t>
  </si>
  <si>
    <t xml:space="preserve">ÍTEM</t>
  </si>
  <si>
    <t xml:space="preserve">DESCRIPCIÓN</t>
  </si>
  <si>
    <t xml:space="preserve">MATERIAL / COLOR</t>
  </si>
  <si>
    <t xml:space="preserve">CANT.</t>
  </si>
  <si>
    <t xml:space="preserve">VALOR UNITARIO</t>
  </si>
  <si>
    <t xml:space="preserve">VALOR TOTAL</t>
  </si>
  <si>
    <t xml:space="preserve">Total del pedido</t>
  </si>
  <si>
    <t xml:space="preserve">Anticipo (%)</t>
  </si>
  <si>
    <t xml:space="preserve">Anticipo</t>
  </si>
  <si>
    <t xml:space="preserve">SALDO PENDIENTE</t>
  </si>
  <si>
    <t xml:space="preserve">OBSERVACIONES</t>
  </si>
  <si>
    <t xml:space="preserve">FIRMA DEL CLIENTE</t>
  </si>
  <si>
    <t xml:space="preserve">RECIBIDO POR VELARA</t>
  </si>
  <si>
    <t xml:space="preserve">Acepto el pedido y sus condiciones</t>
  </si>
  <si>
    <t xml:space="preserve">Nombre y firma del asesor</t>
  </si>
  <si>
    <t xml:space="preserve">Cómo usar: diligencie las celdas con fondo crema. El estado se elige de la lista (F10). El anticipo se calcula con el porcentaje de D33 (50 %).</t>
  </si>
  <si>
    <t xml:space="preserve">000087</t>
  </si>
  <si>
    <t xml:space="preserve">En producción</t>
  </si>
  <si>
    <t xml:space="preserve">Carlos Gómez (ejemplo)</t>
  </si>
  <si>
    <t xml:space="preserve">Mazda 3 2019</t>
  </si>
  <si>
    <t xml:space="preserve">1.140.000.000</t>
  </si>
  <si>
    <t xml:space="preserve">ABC 123</t>
  </si>
  <si>
    <t xml:space="preserve">300 000 0000</t>
  </si>
  <si>
    <t xml:space="preserve">Diego Franco</t>
  </si>
  <si>
    <t xml:space="preserve">cliente@ejemplo.com</t>
  </si>
  <si>
    <t xml:space="preserve">Calle 72 # 45 - 20</t>
  </si>
  <si>
    <t xml:space="preserve">000125</t>
  </si>
  <si>
    <t xml:space="preserve">Barranquilla</t>
  </si>
  <si>
    <t xml:space="preserve">Taller</t>
  </si>
  <si>
    <t xml:space="preserve">Tapizado de asientos delanteros</t>
  </si>
  <si>
    <t xml:space="preserve">Cuero sintético negro</t>
  </si>
  <si>
    <t xml:space="preserve">Forro de puertas</t>
  </si>
  <si>
    <t xml:space="preserve">Hoja de ejemplo con datos ficticios: muestra cómo se ve diligenciada. Use la primera hoja para trabajar.</t>
  </si>
  <si>
    <t xml:space="preserve">DATOS DE LA EMPRESA</t>
  </si>
  <si>
    <t xml:space="preserve">Escriba aquí los datos reales una sola vez: el encabezado de las otras hojas se actualiza solo.</t>
  </si>
  <si>
    <t xml:space="preserve">Razón social</t>
  </si>
  <si>
    <t xml:space="preserve">VELARA TALLER S.A.S.</t>
  </si>
  <si>
    <t xml:space="preserve">NIT</t>
  </si>
  <si>
    <t xml:space="preserve">[000.000.000-0]</t>
  </si>
  <si>
    <t xml:space="preserve">[Dirección]</t>
  </si>
  <si>
    <t xml:space="preserve">Barranquilla, Colombia</t>
  </si>
  <si>
    <t xml:space="preserve">[+57 300 000 0000]</t>
  </si>
  <si>
    <t xml:space="preserve">[correo@dominio.com]</t>
  </si>
  <si>
    <t xml:space="preserve">Sitio web</t>
  </si>
  <si>
    <t xml:space="preserve">[sitio web]</t>
  </si>
  <si>
    <t xml:space="preserve">Responsabilidad tributaria</t>
  </si>
  <si>
    <t xml:space="preserve">[Responsable de IVA]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</si>
</sst>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$ &quot;#,##0;&quot;-$ &quot;#,##0;\-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B0B0B"/>
      <name val="Inter"/>
      <family val="0"/>
      <charset val="1"/>
    </font>
    <font>
      <sz val="8"/>
      <color rgb="FF4A4843"/>
      <name val="Inter"/>
      <family val="0"/>
      <charset val="1"/>
    </font>
    <font>
      <b val="true"/>
      <sz val="20"/>
      <color rgb="FF0B0B0B"/>
      <name val="Inter"/>
      <family val="0"/>
      <charset val="1"/>
    </font>
    <font>
      <sz val="8"/>
      <color rgb="FF5E5C57"/>
      <name val="Inter"/>
      <family val="0"/>
      <charset val="1"/>
    </font>
    <font>
      <b val="true"/>
      <sz val="9"/>
      <color rgb="FFD71920"/>
      <name val="Inter"/>
      <family val="0"/>
      <charset val="1"/>
    </font>
    <font>
      <b val="true"/>
      <sz val="7"/>
      <color rgb="FF6A6863"/>
      <name val="Inter"/>
      <family val="0"/>
      <charset val="1"/>
    </font>
    <font>
      <sz val="9"/>
      <color rgb="FF0B0B0B"/>
      <name val="Inter"/>
      <family val="0"/>
      <charset val="1"/>
    </font>
    <font>
      <b val="true"/>
      <sz val="7.5"/>
      <color rgb="FF0B0B0B"/>
      <name val="Inter"/>
      <family val="0"/>
      <charset val="1"/>
    </font>
    <font>
      <b val="true"/>
      <sz val="7.5"/>
      <color rgb="FFFFFFFF"/>
      <name val="Inter"/>
      <family val="0"/>
      <charset val="1"/>
    </font>
    <font>
      <sz val="8"/>
      <color rgb="FF8C8A84"/>
      <name val="Inter"/>
      <family val="0"/>
      <charset val="1"/>
    </font>
    <font>
      <b val="true"/>
      <sz val="9.5"/>
      <color rgb="FFFFFFFF"/>
      <name val="Inter"/>
      <family val="0"/>
      <charset val="1"/>
    </font>
    <font>
      <sz val="7.5"/>
      <color rgb="FF5E5C57"/>
      <name val="Inter"/>
      <family val="0"/>
      <charset val="1"/>
    </font>
    <font>
      <sz val="7.5"/>
      <color rgb="FF6A6863"/>
      <name val="Inter"/>
      <family val="0"/>
      <charset val="1"/>
    </font>
    <font>
      <i val="true"/>
      <sz val="8"/>
      <color rgb="FF5E5C57"/>
      <name val="Inter"/>
      <family val="0"/>
      <charset val="1"/>
    </font>
    <font>
      <i val="true"/>
      <sz val="8"/>
      <color rgb="FFD71920"/>
      <name val="Inter"/>
      <family val="0"/>
      <charset val="1"/>
    </font>
    <font>
      <b val="true"/>
      <sz val="11"/>
      <color rgb="FF0B0B0B"/>
      <name val="Inter"/>
      <family val="0"/>
      <charset val="1"/>
    </font>
    <font>
      <sz val="9"/>
      <color rgb="FF5E5C57"/>
      <name val="Inter"/>
      <family val="0"/>
      <charset val="1"/>
    </font>
    <font>
      <sz val="10"/>
      <color rgb="FF0B0B0B"/>
      <name val="Inter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5EF"/>
        <bgColor rgb="FFFFFFFF"/>
      </patternFill>
    </fill>
    <fill>
      <patternFill patternType="solid">
        <fgColor rgb="FF252525"/>
        <bgColor rgb="FF0B0B0B"/>
      </patternFill>
    </fill>
    <fill>
      <patternFill patternType="solid">
        <fgColor rgb="FFD71920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/>
      <right/>
      <top/>
      <bottom style="medium">
        <color rgb="FFD71920"/>
      </bottom>
      <diagonal/>
    </border>
    <border diagonalUp="false" diagonalDown="false">
      <left/>
      <right/>
      <top/>
      <bottom style="thin">
        <color rgb="FFCFCBC2"/>
      </bottom>
      <diagonal/>
    </border>
    <border diagonalUp="false" diagonalDown="false">
      <left/>
      <right/>
      <top/>
      <bottom style="thin">
        <color rgb="FFDDD9D0"/>
      </bottom>
      <diagonal/>
    </border>
    <border diagonalUp="false" diagonalDown="false">
      <left/>
      <right/>
      <top style="thin">
        <color rgb="FF0B0B0B"/>
      </top>
      <bottom/>
      <diagonal/>
    </border>
    <border diagonalUp="false" diagonalDown="false">
      <left/>
      <right/>
      <top style="thin">
        <color rgb="FFDDD9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4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C57"/>
      <rgbColor rgb="FF800080"/>
      <rgbColor rgb="FF008080"/>
      <rgbColor rgb="FFCFCBC2"/>
      <rgbColor rgb="FF8C8A84"/>
      <rgbColor rgb="FF9999FF"/>
      <rgbColor rgb="FF993366"/>
      <rgbColor rgb="FFF7F5EF"/>
      <rgbColor rgb="FFCCFFFF"/>
      <rgbColor rgb="FF660066"/>
      <rgbColor rgb="FFFF8080"/>
      <rgbColor rgb="FF0066CC"/>
      <rgbColor rgb="FFDDD9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863"/>
      <rgbColor rgb="FF969696"/>
      <rgbColor rgb="FF003366"/>
      <rgbColor rgb="FF339966"/>
      <rgbColor rgb="FF0B0B0B"/>
      <rgbColor rgb="FF4A4843"/>
      <rgbColor rgb="FF993300"/>
      <rgbColor rgb="FF993366"/>
      <rgbColor rgb="FF333399"/>
      <rgbColor rgb="FF2525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1696320</xdr:colOff>
      <xdr:row>2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1696320</xdr:colOff>
      <xdr:row>2</xdr:row>
      <xdr:rowOff>37440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7"/>
    <col collapsed="false" customWidth="true" hidden="false" outlineLevel="0" max="6" min="6" style="1" width="20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/>
    </row>
    <row r="8" customFormat="false" ht="15.75" hidden="false" customHeight="true" outlineLevel="0" collapsed="false">
      <c r="A8" s="7" t="s">
        <v>2</v>
      </c>
      <c r="E8" s="5" t="s">
        <v>3</v>
      </c>
      <c r="F8" s="8"/>
    </row>
    <row r="9" customFormat="false" ht="15.75" hidden="false" customHeight="true" outlineLevel="0" collapsed="false">
      <c r="E9" s="5" t="s">
        <v>4</v>
      </c>
      <c r="F9" s="8"/>
    </row>
    <row r="10" customFormat="false" ht="15.75" hidden="false" customHeight="true" outlineLevel="0" collapsed="false">
      <c r="E10" s="5" t="s">
        <v>5</v>
      </c>
      <c r="F10" s="9"/>
    </row>
    <row r="12" customFormat="false" ht="15" hidden="false" customHeight="false" outlineLevel="0" collapsed="false">
      <c r="A12" s="10" t="s">
        <v>6</v>
      </c>
      <c r="E12" s="10" t="s">
        <v>7</v>
      </c>
    </row>
    <row r="13" customFormat="false" ht="15.75" hidden="false" customHeight="true" outlineLevel="0" collapsed="false">
      <c r="A13" s="11" t="s">
        <v>8</v>
      </c>
      <c r="B13" s="11"/>
      <c r="C13" s="9"/>
      <c r="D13" s="9"/>
      <c r="E13" s="5" t="s">
        <v>9</v>
      </c>
      <c r="F13" s="9"/>
    </row>
    <row r="14" customFormat="false" ht="15.75" hidden="false" customHeight="true" outlineLevel="0" collapsed="false">
      <c r="A14" s="11" t="s">
        <v>10</v>
      </c>
      <c r="B14" s="11"/>
      <c r="C14" s="9"/>
      <c r="D14" s="9"/>
      <c r="E14" s="5" t="s">
        <v>11</v>
      </c>
      <c r="F14" s="9"/>
    </row>
    <row r="15" customFormat="false" ht="15.75" hidden="false" customHeight="true" outlineLevel="0" collapsed="false">
      <c r="A15" s="11" t="s">
        <v>12</v>
      </c>
      <c r="B15" s="11"/>
      <c r="C15" s="9"/>
      <c r="D15" s="9"/>
      <c r="E15" s="5" t="s">
        <v>13</v>
      </c>
      <c r="F15" s="9"/>
    </row>
    <row r="16" customFormat="false" ht="15.75" hidden="false" customHeight="true" outlineLevel="0" collapsed="false">
      <c r="A16" s="11" t="s">
        <v>14</v>
      </c>
      <c r="B16" s="11"/>
      <c r="C16" s="9"/>
      <c r="D16" s="9"/>
      <c r="E16" s="5" t="s">
        <v>15</v>
      </c>
      <c r="F16" s="9"/>
    </row>
    <row r="17" customFormat="false" ht="15.75" hidden="false" customHeight="true" outlineLevel="0" collapsed="false">
      <c r="A17" s="11" t="s">
        <v>16</v>
      </c>
      <c r="B17" s="11"/>
      <c r="C17" s="9"/>
      <c r="D17" s="9"/>
      <c r="E17" s="5" t="s">
        <v>17</v>
      </c>
      <c r="F17" s="9"/>
    </row>
    <row r="18" customFormat="false" ht="15.75" hidden="false" customHeight="true" outlineLevel="0" collapsed="false">
      <c r="A18" s="11" t="s">
        <v>18</v>
      </c>
      <c r="B18" s="11"/>
      <c r="C18" s="9"/>
      <c r="D18" s="9"/>
      <c r="E18" s="5" t="s">
        <v>19</v>
      </c>
      <c r="F18" s="9"/>
    </row>
    <row r="20" customFormat="false" ht="19.5" hidden="false" customHeight="true" outlineLevel="0" collapsed="false">
      <c r="A20" s="12" t="s">
        <v>20</v>
      </c>
      <c r="B20" s="13" t="s">
        <v>21</v>
      </c>
      <c r="C20" s="13" t="s">
        <v>22</v>
      </c>
      <c r="D20" s="12" t="s">
        <v>23</v>
      </c>
      <c r="E20" s="14" t="s">
        <v>24</v>
      </c>
      <c r="F20" s="14" t="s">
        <v>25</v>
      </c>
    </row>
    <row r="21" customFormat="false" ht="18" hidden="false" customHeight="true" outlineLevel="0" collapsed="false">
      <c r="A21" s="15" t="n">
        <v>1</v>
      </c>
      <c r="B21" s="16"/>
      <c r="C21" s="16"/>
      <c r="D21" s="17"/>
      <c r="E21" s="18"/>
      <c r="F21" s="19" t="str">
        <f aca="false">IF(OR(D21="",E21=""),"",D21*E21)</f>
        <v/>
      </c>
    </row>
    <row r="22" customFormat="false" ht="18" hidden="false" customHeight="true" outlineLevel="0" collapsed="false">
      <c r="A22" s="15" t="n">
        <v>2</v>
      </c>
      <c r="B22" s="16"/>
      <c r="C22" s="16"/>
      <c r="D22" s="17"/>
      <c r="E22" s="18"/>
      <c r="F22" s="19" t="str">
        <f aca="false">IF(OR(D22="",E22=""),"",D22*E22)</f>
        <v/>
      </c>
    </row>
    <row r="23" customFormat="false" ht="18" hidden="false" customHeight="true" outlineLevel="0" collapsed="false">
      <c r="A23" s="15" t="n">
        <v>3</v>
      </c>
      <c r="B23" s="16"/>
      <c r="C23" s="16"/>
      <c r="D23" s="17"/>
      <c r="E23" s="18"/>
      <c r="F23" s="19" t="str">
        <f aca="false">IF(OR(D23="",E23=""),"",D23*E23)</f>
        <v/>
      </c>
    </row>
    <row r="24" customFormat="false" ht="18" hidden="false" customHeight="true" outlineLevel="0" collapsed="false">
      <c r="A24" s="15" t="n">
        <v>4</v>
      </c>
      <c r="B24" s="16"/>
      <c r="C24" s="16"/>
      <c r="D24" s="17"/>
      <c r="E24" s="18"/>
      <c r="F24" s="19" t="str">
        <f aca="false">IF(OR(D24="",E24=""),"",D24*E24)</f>
        <v/>
      </c>
    </row>
    <row r="25" customFormat="false" ht="18" hidden="false" customHeight="true" outlineLevel="0" collapsed="false">
      <c r="A25" s="15" t="n">
        <v>5</v>
      </c>
      <c r="B25" s="16"/>
      <c r="C25" s="16"/>
      <c r="D25" s="17"/>
      <c r="E25" s="18"/>
      <c r="F25" s="19" t="str">
        <f aca="false">IF(OR(D25="",E25=""),"",D25*E25)</f>
        <v/>
      </c>
    </row>
    <row r="26" customFormat="false" ht="18" hidden="false" customHeight="true" outlineLevel="0" collapsed="false">
      <c r="A26" s="15" t="n">
        <v>6</v>
      </c>
      <c r="B26" s="16"/>
      <c r="C26" s="16"/>
      <c r="D26" s="17"/>
      <c r="E26" s="18"/>
      <c r="F26" s="19" t="str">
        <f aca="false">IF(OR(D26="",E26=""),"",D26*E26)</f>
        <v/>
      </c>
    </row>
    <row r="27" customFormat="false" ht="18" hidden="false" customHeight="true" outlineLevel="0" collapsed="false">
      <c r="A27" s="15" t="n">
        <v>7</v>
      </c>
      <c r="B27" s="16"/>
      <c r="C27" s="16"/>
      <c r="D27" s="17"/>
      <c r="E27" s="18"/>
      <c r="F27" s="19" t="str">
        <f aca="false">IF(OR(D27="",E27=""),"",D27*E27)</f>
        <v/>
      </c>
    </row>
    <row r="28" customFormat="false" ht="18" hidden="false" customHeight="true" outlineLevel="0" collapsed="false">
      <c r="A28" s="15" t="n">
        <v>8</v>
      </c>
      <c r="B28" s="16"/>
      <c r="C28" s="16"/>
      <c r="D28" s="17"/>
      <c r="E28" s="18"/>
      <c r="F28" s="19" t="str">
        <f aca="false">IF(OR(D28="",E28=""),"",D28*E28)</f>
        <v/>
      </c>
    </row>
    <row r="29" customFormat="false" ht="18" hidden="false" customHeight="true" outlineLevel="0" collapsed="false">
      <c r="A29" s="15" t="n">
        <v>9</v>
      </c>
      <c r="B29" s="16"/>
      <c r="C29" s="16"/>
      <c r="D29" s="17"/>
      <c r="E29" s="18"/>
      <c r="F29" s="19" t="str">
        <f aca="false">IF(OR(D29="",E29=""),"",D29*E29)</f>
        <v/>
      </c>
    </row>
    <row r="30" customFormat="false" ht="18" hidden="false" customHeight="true" outlineLevel="0" collapsed="false">
      <c r="A30" s="15" t="n">
        <v>10</v>
      </c>
      <c r="B30" s="16"/>
      <c r="C30" s="16"/>
      <c r="D30" s="17"/>
      <c r="E30" s="18"/>
      <c r="F30" s="19" t="str">
        <f aca="false">IF(OR(D30="",E30=""),"",D30*E30)</f>
        <v/>
      </c>
    </row>
    <row r="32" customFormat="false" ht="16.5" hidden="false" customHeight="true" outlineLevel="0" collapsed="false">
      <c r="E32" s="20" t="s">
        <v>26</v>
      </c>
      <c r="F32" s="19" t="n">
        <f aca="false">SUM(F21:F30)</f>
        <v>0</v>
      </c>
    </row>
    <row r="33" customFormat="false" ht="16.5" hidden="false" customHeight="true" outlineLevel="0" collapsed="false">
      <c r="C33" s="21" t="s">
        <v>27</v>
      </c>
      <c r="D33" s="22" t="n">
        <v>0.5</v>
      </c>
      <c r="E33" s="20" t="s">
        <v>28</v>
      </c>
      <c r="F33" s="19" t="n">
        <f aca="false">ROUND(F32*D33,0)</f>
        <v>0</v>
      </c>
    </row>
    <row r="34" customFormat="false" ht="19.5" hidden="false" customHeight="true" outlineLevel="0" collapsed="false">
      <c r="E34" s="23" t="s">
        <v>29</v>
      </c>
      <c r="F34" s="24" t="n">
        <f aca="false">F32-F33</f>
        <v>0</v>
      </c>
    </row>
    <row r="36" customFormat="false" ht="15" hidden="false" customHeight="false" outlineLevel="0" collapsed="false">
      <c r="A36" s="10" t="s">
        <v>30</v>
      </c>
    </row>
    <row r="37" customFormat="false" ht="16.5" hidden="false" customHeight="true" outlineLevel="0" collapsed="false">
      <c r="A37" s="25"/>
      <c r="B37" s="25"/>
      <c r="C37" s="25"/>
      <c r="D37" s="25"/>
      <c r="E37" s="25"/>
      <c r="F37" s="25"/>
    </row>
    <row r="38" customFormat="false" ht="16.5" hidden="false" customHeight="true" outlineLevel="0" collapsed="false">
      <c r="A38" s="25"/>
      <c r="B38" s="25"/>
      <c r="C38" s="25"/>
      <c r="D38" s="25"/>
      <c r="E38" s="25"/>
      <c r="F38" s="25"/>
    </row>
    <row r="39" customFormat="false" ht="16.5" hidden="false" customHeight="true" outlineLevel="0" collapsed="false">
      <c r="A39" s="25"/>
      <c r="B39" s="25"/>
      <c r="C39" s="25"/>
      <c r="D39" s="25"/>
      <c r="E39" s="25"/>
      <c r="F39" s="25"/>
    </row>
    <row r="42" customFormat="false" ht="15" hidden="false" customHeight="false" outlineLevel="0" collapsed="false">
      <c r="A42" s="26" t="s">
        <v>31</v>
      </c>
      <c r="B42" s="26"/>
      <c r="C42" s="26"/>
      <c r="E42" s="26" t="s">
        <v>32</v>
      </c>
      <c r="F42" s="26"/>
    </row>
    <row r="43" customFormat="false" ht="15" hidden="false" customHeight="false" outlineLevel="0" collapsed="false">
      <c r="A43" s="27" t="s">
        <v>33</v>
      </c>
      <c r="B43" s="27"/>
      <c r="C43" s="27"/>
      <c r="E43" s="27" t="s">
        <v>34</v>
      </c>
      <c r="F43" s="27"/>
    </row>
    <row r="45" customFormat="false" ht="18" hidden="false" customHeight="true" outlineLevel="0" collapsed="false">
      <c r="A45" s="28" t="str">
        <f aca="false">Empresa!$B$10&amp;"   |   "&amp;Empresa!$B$8&amp;"   |   "&amp;Empresa!$B$7</f>
        <v>[sitio web]   |   [+57 300 000 0000]   |   Barranquilla, Colombia</v>
      </c>
      <c r="B45" s="28"/>
      <c r="C45" s="28"/>
      <c r="D45" s="28"/>
      <c r="E45" s="28"/>
      <c r="F45" s="28"/>
    </row>
    <row r="47" customFormat="false" ht="15.75" hidden="false" customHeight="true" outlineLevel="0" collapsed="false">
      <c r="A47" s="29" t="s">
        <v>35</v>
      </c>
      <c r="B47" s="29"/>
      <c r="C47" s="29"/>
      <c r="D47" s="29"/>
      <c r="E47" s="29"/>
      <c r="F47" s="29"/>
    </row>
    <row r="48" customFormat="false" ht="15.75" hidden="false" customHeight="true" outlineLevel="0" collapsed="false">
      <c r="A48" s="29"/>
      <c r="B48" s="29"/>
      <c r="C48" s="29"/>
      <c r="D48" s="29"/>
      <c r="E48" s="29"/>
      <c r="F48" s="29"/>
    </row>
  </sheetData>
  <mergeCells count="26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37:F37"/>
    <mergeCell ref="A38:F38"/>
    <mergeCell ref="A39:F39"/>
    <mergeCell ref="A42:C42"/>
    <mergeCell ref="E42:F42"/>
    <mergeCell ref="A43:C43"/>
    <mergeCell ref="E43:F43"/>
    <mergeCell ref="A45:F45"/>
    <mergeCell ref="A47:F48"/>
  </mergeCells>
  <dataValidations count="1">
    <dataValidation allowBlank="true" errorStyle="stop" operator="between" showDropDown="false" showErrorMessage="false" showInputMessage="false" sqref="F10" type="list">
      <formula1>"Recibido,En producción,Listo para entrega,Entregado"</formula1>
      <formula2>0</formula2>
    </dataValidation>
  </dataValidation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7"/>
    <col collapsed="false" customWidth="true" hidden="false" outlineLevel="0" max="6" min="6" style="1" width="20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 t="s">
        <v>36</v>
      </c>
    </row>
    <row r="8" customFormat="false" ht="15.75" hidden="false" customHeight="true" outlineLevel="0" collapsed="false">
      <c r="A8" s="7" t="s">
        <v>2</v>
      </c>
      <c r="E8" s="5" t="s">
        <v>3</v>
      </c>
      <c r="F8" s="8" t="n">
        <v>46294</v>
      </c>
    </row>
    <row r="9" customFormat="false" ht="15.75" hidden="false" customHeight="true" outlineLevel="0" collapsed="false">
      <c r="E9" s="5" t="s">
        <v>4</v>
      </c>
      <c r="F9" s="8" t="n">
        <v>46301</v>
      </c>
    </row>
    <row r="10" customFormat="false" ht="15.75" hidden="false" customHeight="true" outlineLevel="0" collapsed="false">
      <c r="E10" s="5" t="s">
        <v>5</v>
      </c>
      <c r="F10" s="9" t="s">
        <v>37</v>
      </c>
    </row>
    <row r="12" customFormat="false" ht="15" hidden="false" customHeight="false" outlineLevel="0" collapsed="false">
      <c r="A12" s="10" t="s">
        <v>6</v>
      </c>
      <c r="E12" s="10" t="s">
        <v>7</v>
      </c>
    </row>
    <row r="13" customFormat="false" ht="15.75" hidden="false" customHeight="true" outlineLevel="0" collapsed="false">
      <c r="A13" s="11" t="s">
        <v>8</v>
      </c>
      <c r="B13" s="11"/>
      <c r="C13" s="9" t="s">
        <v>38</v>
      </c>
      <c r="D13" s="9"/>
      <c r="E13" s="5" t="s">
        <v>9</v>
      </c>
      <c r="F13" s="9" t="s">
        <v>39</v>
      </c>
    </row>
    <row r="14" customFormat="false" ht="15.75" hidden="false" customHeight="true" outlineLevel="0" collapsed="false">
      <c r="A14" s="11" t="s">
        <v>10</v>
      </c>
      <c r="B14" s="11"/>
      <c r="C14" s="9" t="s">
        <v>40</v>
      </c>
      <c r="D14" s="9"/>
      <c r="E14" s="5" t="s">
        <v>11</v>
      </c>
      <c r="F14" s="9" t="s">
        <v>41</v>
      </c>
    </row>
    <row r="15" customFormat="false" ht="15.75" hidden="false" customHeight="true" outlineLevel="0" collapsed="false">
      <c r="A15" s="11" t="s">
        <v>12</v>
      </c>
      <c r="B15" s="11"/>
      <c r="C15" s="9" t="s">
        <v>42</v>
      </c>
      <c r="D15" s="9"/>
      <c r="E15" s="5" t="s">
        <v>13</v>
      </c>
      <c r="F15" s="9" t="s">
        <v>43</v>
      </c>
    </row>
    <row r="16" customFormat="false" ht="15.75" hidden="false" customHeight="true" outlineLevel="0" collapsed="false">
      <c r="A16" s="11" t="s">
        <v>14</v>
      </c>
      <c r="B16" s="11"/>
      <c r="C16" s="9" t="s">
        <v>44</v>
      </c>
      <c r="D16" s="9"/>
      <c r="E16" s="5" t="s">
        <v>15</v>
      </c>
      <c r="F16" s="9" t="s">
        <v>42</v>
      </c>
    </row>
    <row r="17" customFormat="false" ht="15.75" hidden="false" customHeight="true" outlineLevel="0" collapsed="false">
      <c r="A17" s="11" t="s">
        <v>16</v>
      </c>
      <c r="B17" s="11"/>
      <c r="C17" s="9" t="s">
        <v>45</v>
      </c>
      <c r="D17" s="9"/>
      <c r="E17" s="5" t="s">
        <v>17</v>
      </c>
      <c r="F17" s="9" t="s">
        <v>46</v>
      </c>
    </row>
    <row r="18" customFormat="false" ht="15.75" hidden="false" customHeight="true" outlineLevel="0" collapsed="false">
      <c r="A18" s="11" t="s">
        <v>18</v>
      </c>
      <c r="B18" s="11"/>
      <c r="C18" s="9" t="s">
        <v>47</v>
      </c>
      <c r="D18" s="9"/>
      <c r="E18" s="5" t="s">
        <v>19</v>
      </c>
      <c r="F18" s="9" t="s">
        <v>48</v>
      </c>
    </row>
    <row r="20" customFormat="false" ht="19.5" hidden="false" customHeight="true" outlineLevel="0" collapsed="false">
      <c r="A20" s="12" t="s">
        <v>20</v>
      </c>
      <c r="B20" s="13" t="s">
        <v>21</v>
      </c>
      <c r="C20" s="13" t="s">
        <v>22</v>
      </c>
      <c r="D20" s="12" t="s">
        <v>23</v>
      </c>
      <c r="E20" s="14" t="s">
        <v>24</v>
      </c>
      <c r="F20" s="14" t="s">
        <v>25</v>
      </c>
    </row>
    <row r="21" customFormat="false" ht="18" hidden="false" customHeight="true" outlineLevel="0" collapsed="false">
      <c r="A21" s="15" t="n">
        <v>1</v>
      </c>
      <c r="B21" s="16" t="s">
        <v>49</v>
      </c>
      <c r="C21" s="16" t="s">
        <v>50</v>
      </c>
      <c r="D21" s="17" t="n">
        <v>2</v>
      </c>
      <c r="E21" s="18" t="n">
        <v>450000</v>
      </c>
      <c r="F21" s="19" t="n">
        <f aca="false">IF(OR(D21="",E21=""),"",D21*E21)</f>
        <v>900000</v>
      </c>
    </row>
    <row r="22" customFormat="false" ht="18" hidden="false" customHeight="true" outlineLevel="0" collapsed="false">
      <c r="A22" s="15" t="n">
        <v>2</v>
      </c>
      <c r="B22" s="16" t="s">
        <v>51</v>
      </c>
      <c r="C22" s="16" t="s">
        <v>50</v>
      </c>
      <c r="D22" s="17" t="n">
        <v>4</v>
      </c>
      <c r="E22" s="18" t="n">
        <v>120000</v>
      </c>
      <c r="F22" s="19" t="n">
        <f aca="false">IF(OR(D22="",E22=""),"",D22*E22)</f>
        <v>480000</v>
      </c>
    </row>
    <row r="23" customFormat="false" ht="18" hidden="false" customHeight="true" outlineLevel="0" collapsed="false">
      <c r="A23" s="15" t="n">
        <v>3</v>
      </c>
      <c r="B23" s="16"/>
      <c r="C23" s="16"/>
      <c r="D23" s="17"/>
      <c r="E23" s="18"/>
      <c r="F23" s="19" t="str">
        <f aca="false">IF(OR(D23="",E23=""),"",D23*E23)</f>
        <v/>
      </c>
    </row>
    <row r="24" customFormat="false" ht="18" hidden="false" customHeight="true" outlineLevel="0" collapsed="false">
      <c r="A24" s="15" t="n">
        <v>4</v>
      </c>
      <c r="B24" s="16"/>
      <c r="C24" s="16"/>
      <c r="D24" s="17"/>
      <c r="E24" s="18"/>
      <c r="F24" s="19" t="str">
        <f aca="false">IF(OR(D24="",E24=""),"",D24*E24)</f>
        <v/>
      </c>
    </row>
    <row r="25" customFormat="false" ht="18" hidden="false" customHeight="true" outlineLevel="0" collapsed="false">
      <c r="A25" s="15" t="n">
        <v>5</v>
      </c>
      <c r="B25" s="16"/>
      <c r="C25" s="16"/>
      <c r="D25" s="17"/>
      <c r="E25" s="18"/>
      <c r="F25" s="19" t="str">
        <f aca="false">IF(OR(D25="",E25=""),"",D25*E25)</f>
        <v/>
      </c>
    </row>
    <row r="26" customFormat="false" ht="18" hidden="false" customHeight="true" outlineLevel="0" collapsed="false">
      <c r="A26" s="15" t="n">
        <v>6</v>
      </c>
      <c r="B26" s="16"/>
      <c r="C26" s="16"/>
      <c r="D26" s="17"/>
      <c r="E26" s="18"/>
      <c r="F26" s="19" t="str">
        <f aca="false">IF(OR(D26="",E26=""),"",D26*E26)</f>
        <v/>
      </c>
    </row>
    <row r="27" customFormat="false" ht="18" hidden="false" customHeight="true" outlineLevel="0" collapsed="false">
      <c r="A27" s="15" t="n">
        <v>7</v>
      </c>
      <c r="B27" s="16"/>
      <c r="C27" s="16"/>
      <c r="D27" s="17"/>
      <c r="E27" s="18"/>
      <c r="F27" s="19" t="str">
        <f aca="false">IF(OR(D27="",E27=""),"",D27*E27)</f>
        <v/>
      </c>
    </row>
    <row r="28" customFormat="false" ht="18" hidden="false" customHeight="true" outlineLevel="0" collapsed="false">
      <c r="A28" s="15" t="n">
        <v>8</v>
      </c>
      <c r="B28" s="16"/>
      <c r="C28" s="16"/>
      <c r="D28" s="17"/>
      <c r="E28" s="18"/>
      <c r="F28" s="19" t="str">
        <f aca="false">IF(OR(D28="",E28=""),"",D28*E28)</f>
        <v/>
      </c>
    </row>
    <row r="29" customFormat="false" ht="18" hidden="false" customHeight="true" outlineLevel="0" collapsed="false">
      <c r="A29" s="15" t="n">
        <v>9</v>
      </c>
      <c r="B29" s="16"/>
      <c r="C29" s="16"/>
      <c r="D29" s="17"/>
      <c r="E29" s="18"/>
      <c r="F29" s="19" t="str">
        <f aca="false">IF(OR(D29="",E29=""),"",D29*E29)</f>
        <v/>
      </c>
    </row>
    <row r="30" customFormat="false" ht="18" hidden="false" customHeight="true" outlineLevel="0" collapsed="false">
      <c r="A30" s="15" t="n">
        <v>10</v>
      </c>
      <c r="B30" s="16"/>
      <c r="C30" s="16"/>
      <c r="D30" s="17"/>
      <c r="E30" s="18"/>
      <c r="F30" s="19" t="str">
        <f aca="false">IF(OR(D30="",E30=""),"",D30*E30)</f>
        <v/>
      </c>
    </row>
    <row r="32" customFormat="false" ht="16.5" hidden="false" customHeight="true" outlineLevel="0" collapsed="false">
      <c r="E32" s="20" t="s">
        <v>26</v>
      </c>
      <c r="F32" s="19" t="n">
        <f aca="false">SUM(F21:F30)</f>
        <v>1380000</v>
      </c>
    </row>
    <row r="33" customFormat="false" ht="16.5" hidden="false" customHeight="true" outlineLevel="0" collapsed="false">
      <c r="C33" s="21" t="s">
        <v>27</v>
      </c>
      <c r="D33" s="22" t="n">
        <v>0.5</v>
      </c>
      <c r="E33" s="20" t="s">
        <v>28</v>
      </c>
      <c r="F33" s="19" t="n">
        <f aca="false">ROUND(F32*D33,0)</f>
        <v>690000</v>
      </c>
    </row>
    <row r="34" customFormat="false" ht="19.5" hidden="false" customHeight="true" outlineLevel="0" collapsed="false">
      <c r="E34" s="23" t="s">
        <v>29</v>
      </c>
      <c r="F34" s="24" t="n">
        <f aca="false">F32-F33</f>
        <v>690000</v>
      </c>
    </row>
    <row r="36" customFormat="false" ht="15" hidden="false" customHeight="false" outlineLevel="0" collapsed="false">
      <c r="A36" s="10" t="s">
        <v>30</v>
      </c>
    </row>
    <row r="37" customFormat="false" ht="16.5" hidden="false" customHeight="true" outlineLevel="0" collapsed="false">
      <c r="A37" s="25"/>
      <c r="B37" s="25"/>
      <c r="C37" s="25"/>
      <c r="D37" s="25"/>
      <c r="E37" s="25"/>
      <c r="F37" s="25"/>
    </row>
    <row r="38" customFormat="false" ht="16.5" hidden="false" customHeight="true" outlineLevel="0" collapsed="false">
      <c r="A38" s="25"/>
      <c r="B38" s="25"/>
      <c r="C38" s="25"/>
      <c r="D38" s="25"/>
      <c r="E38" s="25"/>
      <c r="F38" s="25"/>
    </row>
    <row r="39" customFormat="false" ht="16.5" hidden="false" customHeight="true" outlineLevel="0" collapsed="false">
      <c r="A39" s="25"/>
      <c r="B39" s="25"/>
      <c r="C39" s="25"/>
      <c r="D39" s="25"/>
      <c r="E39" s="25"/>
      <c r="F39" s="25"/>
    </row>
    <row r="42" customFormat="false" ht="15" hidden="false" customHeight="false" outlineLevel="0" collapsed="false">
      <c r="A42" s="26" t="s">
        <v>31</v>
      </c>
      <c r="B42" s="26"/>
      <c r="C42" s="26"/>
      <c r="E42" s="26" t="s">
        <v>32</v>
      </c>
      <c r="F42" s="26"/>
    </row>
    <row r="43" customFormat="false" ht="15" hidden="false" customHeight="false" outlineLevel="0" collapsed="false">
      <c r="A43" s="27" t="s">
        <v>33</v>
      </c>
      <c r="B43" s="27"/>
      <c r="C43" s="27"/>
      <c r="E43" s="27" t="s">
        <v>34</v>
      </c>
      <c r="F43" s="27"/>
    </row>
    <row r="45" customFormat="false" ht="18" hidden="false" customHeight="true" outlineLevel="0" collapsed="false">
      <c r="A45" s="28" t="str">
        <f aca="false">Empresa!$B$10&amp;"   |   "&amp;Empresa!$B$8&amp;"   |   "&amp;Empresa!$B$7</f>
        <v>[sitio web]   |   [+57 300 000 0000]   |   Barranquilla, Colombia</v>
      </c>
      <c r="B45" s="28"/>
      <c r="C45" s="28"/>
      <c r="D45" s="28"/>
      <c r="E45" s="28"/>
      <c r="F45" s="28"/>
    </row>
    <row r="47" customFormat="false" ht="15.75" hidden="false" customHeight="true" outlineLevel="0" collapsed="false">
      <c r="A47" s="29" t="s">
        <v>35</v>
      </c>
      <c r="B47" s="29"/>
      <c r="C47" s="29"/>
      <c r="D47" s="29"/>
      <c r="E47" s="29"/>
      <c r="F47" s="29"/>
    </row>
    <row r="48" customFormat="false" ht="15.75" hidden="false" customHeight="true" outlineLevel="0" collapsed="false">
      <c r="A48" s="29"/>
      <c r="B48" s="29"/>
      <c r="C48" s="29"/>
      <c r="D48" s="29"/>
      <c r="E48" s="29"/>
      <c r="F48" s="29"/>
    </row>
    <row r="50" customFormat="false" ht="15" hidden="false" customHeight="false" outlineLevel="0" collapsed="false">
      <c r="A50" s="30" t="s">
        <v>52</v>
      </c>
    </row>
  </sheetData>
  <mergeCells count="26">
    <mergeCell ref="D1:F1"/>
    <mergeCell ref="D2:F2"/>
    <mergeCell ref="D3:F3"/>
    <mergeCell ref="D4:F4"/>
    <mergeCell ref="D5:F5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37:F37"/>
    <mergeCell ref="A38:F38"/>
    <mergeCell ref="A39:F39"/>
    <mergeCell ref="A42:C42"/>
    <mergeCell ref="E42:F42"/>
    <mergeCell ref="A43:C43"/>
    <mergeCell ref="E43:F43"/>
    <mergeCell ref="A45:F45"/>
    <mergeCell ref="A47:F48"/>
  </mergeCells>
  <dataValidations count="1">
    <dataValidation allowBlank="true" errorStyle="stop" operator="between" showDropDown="false" showErrorMessage="false" showInputMessage="false" sqref="F10" type="list">
      <formula1>"Recibido,En producción,Listo para entrega,Entregado"</formula1>
      <formula2>0</formula2>
    </dataValidation>
  </dataValidation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</cols>
  <sheetData>
    <row r="1" customFormat="false" ht="15" hidden="false" customHeight="false" outlineLevel="0" collapsed="false">
      <c r="A1" s="31" t="s">
        <v>53</v>
      </c>
    </row>
    <row r="2" customFormat="false" ht="15" hidden="false" customHeight="false" outlineLevel="0" collapsed="false">
      <c r="A2" s="32" t="s">
        <v>54</v>
      </c>
    </row>
    <row r="4" customFormat="false" ht="15" hidden="false" customHeight="false" outlineLevel="0" collapsed="false">
      <c r="A4" s="32" t="s">
        <v>55</v>
      </c>
      <c r="B4" s="33" t="s">
        <v>56</v>
      </c>
    </row>
    <row r="5" customFormat="false" ht="15" hidden="false" customHeight="false" outlineLevel="0" collapsed="false">
      <c r="A5" s="32" t="s">
        <v>57</v>
      </c>
      <c r="B5" s="33" t="s">
        <v>58</v>
      </c>
    </row>
    <row r="6" customFormat="false" ht="15" hidden="false" customHeight="false" outlineLevel="0" collapsed="false">
      <c r="A6" s="32" t="s">
        <v>16</v>
      </c>
      <c r="B6" s="33" t="s">
        <v>59</v>
      </c>
    </row>
    <row r="7" customFormat="false" ht="15" hidden="false" customHeight="false" outlineLevel="0" collapsed="false">
      <c r="A7" s="32" t="s">
        <v>18</v>
      </c>
      <c r="B7" s="33" t="s">
        <v>60</v>
      </c>
    </row>
    <row r="8" customFormat="false" ht="15" hidden="false" customHeight="false" outlineLevel="0" collapsed="false">
      <c r="A8" s="32" t="s">
        <v>12</v>
      </c>
      <c r="B8" s="33" t="s">
        <v>61</v>
      </c>
    </row>
    <row r="9" customFormat="false" ht="15" hidden="false" customHeight="false" outlineLevel="0" collapsed="false">
      <c r="A9" s="32" t="s">
        <v>14</v>
      </c>
      <c r="B9" s="33" t="s">
        <v>62</v>
      </c>
    </row>
    <row r="10" customFormat="false" ht="15" hidden="false" customHeight="false" outlineLevel="0" collapsed="false">
      <c r="A10" s="32" t="s">
        <v>63</v>
      </c>
      <c r="B10" s="33" t="s">
        <v>64</v>
      </c>
    </row>
    <row r="11" customFormat="false" ht="15" hidden="false" customHeight="false" outlineLevel="0" collapsed="false">
      <c r="A11" s="32" t="s">
        <v>65</v>
      </c>
      <c r="B11" s="3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2026-09-29T05:23:26Z</dcterms:created>
  <dc:creator>VELARA Taller S.A.S.</dc:creator>
  <dc:description/>
  <dc:language>en-US</dc:language>
  <cp:lastModifiedBy/>
  <dcterms:modified xsi:type="dcterms:W3CDTF">2026-09-29T05:23:26Z</dcterms:modified>
  <cp:revision>0</cp:revision>
  <dc:subject/>
  <dc:title>VELARA — Pedido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